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407\Desktop\Work\TSA\TSA RMT\"/>
    </mc:Choice>
  </mc:AlternateContent>
  <xr:revisionPtr revIDLastSave="0" documentId="13_ncr:1_{13A8B875-ADBC-4635-87CA-9C5AE01ECE08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1" l="1"/>
  <c r="C20" i="1"/>
  <c r="B23" i="1"/>
  <c r="H9" i="1" l="1"/>
  <c r="F2" i="1" l="1"/>
  <c r="F3" i="1"/>
  <c r="F4" i="1"/>
  <c r="F5" i="1"/>
  <c r="F6" i="1"/>
  <c r="E2" i="1"/>
  <c r="E3" i="1"/>
  <c r="E4" i="1"/>
  <c r="E5" i="1"/>
  <c r="E6" i="1"/>
  <c r="E8" i="1" l="1"/>
  <c r="E7" i="1"/>
  <c r="C10" i="1" l="1"/>
  <c r="D9" i="1"/>
  <c r="G8" i="1"/>
  <c r="F8" i="1"/>
  <c r="H7" i="1"/>
  <c r="G7" i="1"/>
  <c r="F7" i="1"/>
  <c r="G6" i="1"/>
  <c r="G4" i="1"/>
  <c r="G3" i="1"/>
  <c r="G2" i="1"/>
  <c r="D10" i="1" l="1"/>
  <c r="E10" i="1" s="1"/>
  <c r="G9" i="1"/>
  <c r="E9" i="1"/>
  <c r="F9" i="1"/>
  <c r="G10" i="1"/>
  <c r="C11" i="1" l="1"/>
  <c r="F10" i="1"/>
  <c r="D11" i="1" l="1"/>
  <c r="E11" i="1"/>
  <c r="G11" i="1"/>
  <c r="C12" i="1"/>
  <c r="D12" i="1" l="1"/>
  <c r="C13" i="1"/>
  <c r="F12" i="1"/>
  <c r="F11" i="1"/>
  <c r="D13" i="1" l="1"/>
  <c r="E12" i="1"/>
  <c r="C14" i="1"/>
  <c r="G12" i="1"/>
  <c r="D14" i="1" l="1"/>
  <c r="E13" i="1"/>
  <c r="G13" i="1"/>
  <c r="F13" i="1"/>
  <c r="C15" i="1"/>
  <c r="G14" i="1"/>
  <c r="D15" i="1" l="1"/>
  <c r="E14" i="1"/>
  <c r="H15" i="1"/>
  <c r="C16" i="1"/>
  <c r="F14" i="1"/>
  <c r="D16" i="1" l="1"/>
  <c r="E15" i="1"/>
  <c r="G15" i="1"/>
  <c r="C17" i="1"/>
  <c r="F15" i="1"/>
  <c r="D17" i="1" l="1"/>
  <c r="E17" i="1"/>
  <c r="E16" i="1"/>
  <c r="G16" i="1"/>
  <c r="F16" i="1"/>
  <c r="D18" i="1" l="1"/>
  <c r="C19" i="1" s="1"/>
  <c r="G17" i="1"/>
  <c r="F17" i="1"/>
  <c r="E18" i="1" l="1"/>
  <c r="H19" i="1"/>
  <c r="D19" i="1"/>
  <c r="G19" i="1" s="1"/>
  <c r="F18" i="1"/>
  <c r="G18" i="1"/>
  <c r="F19" i="1" l="1"/>
  <c r="E19" i="1"/>
</calcChain>
</file>

<file path=xl/sharedStrings.xml><?xml version="1.0" encoding="utf-8"?>
<sst xmlns="http://schemas.openxmlformats.org/spreadsheetml/2006/main" count="35" uniqueCount="35">
  <si>
    <t>TASK</t>
  </si>
  <si>
    <t>Start Date</t>
  </si>
  <si>
    <t>End Date</t>
  </si>
  <si>
    <t>Days</t>
  </si>
  <si>
    <t>Workdays</t>
  </si>
  <si>
    <t>Ongoing Work</t>
  </si>
  <si>
    <t>Deliverable</t>
  </si>
  <si>
    <t>Periodicity</t>
  </si>
  <si>
    <t>Group</t>
  </si>
  <si>
    <t>Footnote</t>
  </si>
  <si>
    <t>Approval of TOC Policy Memo</t>
  </si>
  <si>
    <t>Draft Regulatory Text</t>
  </si>
  <si>
    <t>Draft Preamble</t>
  </si>
  <si>
    <t>Complete RIA</t>
  </si>
  <si>
    <t>List of individual sections of the RIA (if needed)</t>
  </si>
  <si>
    <t>EAB RIA Review</t>
  </si>
  <si>
    <t>TSA Review</t>
  </si>
  <si>
    <t>TSA Clearance of NPRM</t>
  </si>
  <si>
    <t>Component circulation and comment adjudication</t>
  </si>
  <si>
    <t>DHS Clearance</t>
  </si>
  <si>
    <t>OMB Clearance</t>
  </si>
  <si>
    <t>NPRM Publication</t>
  </si>
  <si>
    <t>Public Comments</t>
  </si>
  <si>
    <t>TSA Preparation/Review of Final Rule</t>
  </si>
  <si>
    <t>OMB Review of Final Rule</t>
  </si>
  <si>
    <t>Publication of Final Rule</t>
  </si>
  <si>
    <t>RIA Team Meeting</t>
  </si>
  <si>
    <t>02/15/2020-04/15/2020</t>
  </si>
  <si>
    <t>Weekly</t>
  </si>
  <si>
    <t>Approval of Adjudication Policy Memo</t>
  </si>
  <si>
    <t>TaskNo</t>
  </si>
  <si>
    <t>Dependent Tasks</t>
  </si>
  <si>
    <t>Extra Categories</t>
  </si>
  <si>
    <t>Extra Categories 2</t>
  </si>
  <si>
    <t>6.1, 6.2, 12, 11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</si>
</sst>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1" applyFont="1" applyFill="1" applyBorder="1" applyAlignment="1" applyProtection="1">
      <alignment vertical="center"/>
    </xf>
    <xf numFmtId="164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3" fillId="0" borderId="0" xfId="1" applyFont="1" applyFill="1" applyBorder="1" applyAlignment="1" applyProtection="1">
      <alignment horizontal="left" vertical="center" indent="2"/>
    </xf>
    <xf numFmtId="14" fontId="0" fillId="0" borderId="0" xfId="0" applyNumberFormat="1" applyBorder="1"/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0" fillId="0" borderId="0" xfId="0" applyNumberFormat="1" applyFill="1" applyBorder="1"/>
    <xf numFmtId="164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3"/>
  <sheetViews>
    <sheetView tabSelected="1" topLeftCell="A4" zoomScaleNormal="100" workbookViewId="0">
      <selection activeCell="A21" sqref="A21"/>
    </sheetView>
  </sheetViews>
  <sheetFormatPr defaultRowHeight="15" x14ac:dyDescent="0.25"/>
  <cols>
    <col min="2" max="2" width="40.5703125" customWidth="1"/>
    <col min="3" max="4" width="10.7109375" customWidth="1"/>
    <col min="5" max="5" width="8.42578125" style="9" bestFit="1" customWidth="1"/>
    <col min="6" max="6" width="10.85546875" style="9" customWidth="1"/>
    <col min="7" max="7" width="21.5703125" bestFit="1" customWidth="1"/>
    <col min="8" max="8" width="21.5703125" customWidth="1"/>
    <col min="9" max="9" width="10.5703125" bestFit="1" customWidth="1"/>
    <col min="10" max="10" width="8.7109375" bestFit="1" customWidth="1"/>
    <col min="11" max="11" width="9.140625" bestFit="1" customWidth="1"/>
    <col min="12" max="12" width="16.28515625" bestFit="1" customWidth="1"/>
  </cols>
  <sheetData>
    <row r="1" spans="1:12" s="2" customFormat="1" x14ac:dyDescent="0.25">
      <c r="A1" s="2" t="s">
        <v>30</v>
      </c>
      <c r="B1" s="1" t="s">
        <v>0</v>
      </c>
      <c r="C1" s="10" t="s">
        <v>1</v>
      </c>
      <c r="D1" s="10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2" t="s">
        <v>31</v>
      </c>
    </row>
    <row r="2" spans="1:12" x14ac:dyDescent="0.25">
      <c r="A2">
        <v>1</v>
      </c>
      <c r="B2" s="3" t="s">
        <v>29</v>
      </c>
      <c r="C2" s="4"/>
      <c r="D2" s="4"/>
      <c r="E2" s="5" t="str">
        <f t="shared" ref="E2:E6" si="0">IF(OR(C2=0,D2=0),"-",D2-C2+1)</f>
        <v>-</v>
      </c>
      <c r="F2" s="5" t="str">
        <f t="shared" ref="F2:F19" si="1">IF(OR(C2=0,D2=0)," - ",NETWORKDAYS(C2,D2))</f>
        <v xml:space="preserve"> - </v>
      </c>
      <c r="G2" s="6" t="str">
        <f t="shared" ref="G2:G19" si="2">IF(OR(C2=0,D2=0),"",CONCATENATE(TEXT(C2,"MM/DD/YYYY"),"-",TEXT(D2,"MM/DD/YYYY")))</f>
        <v/>
      </c>
      <c r="H2" s="6"/>
      <c r="I2" s="6"/>
      <c r="J2" s="6"/>
      <c r="K2" s="6"/>
    </row>
    <row r="3" spans="1:12" x14ac:dyDescent="0.25">
      <c r="A3">
        <v>2</v>
      </c>
      <c r="B3" s="3" t="s">
        <v>10</v>
      </c>
      <c r="C3" s="4"/>
      <c r="D3" s="4"/>
      <c r="E3" s="5" t="str">
        <f t="shared" si="0"/>
        <v>-</v>
      </c>
      <c r="F3" s="5" t="str">
        <f t="shared" si="1"/>
        <v xml:space="preserve"> - </v>
      </c>
      <c r="G3" s="6" t="str">
        <f t="shared" si="2"/>
        <v/>
      </c>
      <c r="H3" s="6"/>
      <c r="I3" s="6"/>
      <c r="J3" s="6"/>
      <c r="K3" s="6"/>
    </row>
    <row r="4" spans="1:12" x14ac:dyDescent="0.25">
      <c r="A4">
        <v>3</v>
      </c>
      <c r="B4" s="3" t="s">
        <v>11</v>
      </c>
      <c r="C4" s="4"/>
      <c r="D4" s="4"/>
      <c r="E4" s="5" t="str">
        <f t="shared" si="0"/>
        <v>-</v>
      </c>
      <c r="F4" s="5" t="str">
        <f t="shared" si="1"/>
        <v xml:space="preserve"> - </v>
      </c>
      <c r="G4" s="6" t="str">
        <f t="shared" si="2"/>
        <v/>
      </c>
      <c r="H4" s="6"/>
      <c r="I4" s="6"/>
      <c r="J4" s="6"/>
      <c r="K4" s="6"/>
    </row>
    <row r="5" spans="1:12" x14ac:dyDescent="0.25">
      <c r="A5">
        <v>4</v>
      </c>
      <c r="B5" t="s">
        <v>26</v>
      </c>
      <c r="E5" s="5" t="str">
        <f t="shared" si="0"/>
        <v>-</v>
      </c>
      <c r="F5" s="5" t="str">
        <f t="shared" si="1"/>
        <v xml:space="preserve"> - </v>
      </c>
      <c r="H5" t="s">
        <v>27</v>
      </c>
      <c r="I5" t="s">
        <v>28</v>
      </c>
    </row>
    <row r="6" spans="1:12" x14ac:dyDescent="0.25">
      <c r="A6">
        <v>5</v>
      </c>
      <c r="B6" s="3" t="s">
        <v>12</v>
      </c>
      <c r="C6" s="4"/>
      <c r="D6" s="4"/>
      <c r="E6" s="5" t="str">
        <f t="shared" si="0"/>
        <v>-</v>
      </c>
      <c r="F6" s="5" t="str">
        <f t="shared" si="1"/>
        <v xml:space="preserve"> - </v>
      </c>
      <c r="G6" s="6" t="str">
        <f t="shared" si="2"/>
        <v/>
      </c>
      <c r="H6" s="6"/>
      <c r="I6" s="6"/>
      <c r="J6" s="6"/>
      <c r="K6" s="6"/>
    </row>
    <row r="7" spans="1:12" x14ac:dyDescent="0.25">
      <c r="A7">
        <v>6</v>
      </c>
      <c r="B7" s="3" t="s">
        <v>13</v>
      </c>
      <c r="C7" s="4">
        <v>43876</v>
      </c>
      <c r="D7" s="4">
        <v>43936</v>
      </c>
      <c r="E7" s="5">
        <f>IF(OR(C7=0,D7=0),"-",D7-C7+1)</f>
        <v>61</v>
      </c>
      <c r="F7" s="5">
        <f t="shared" si="1"/>
        <v>43</v>
      </c>
      <c r="G7" s="6" t="str">
        <f>IF(OR(C7=0,D7=0),"",CONCATENATE(TEXT(C7,"MM/DD/YYYY"),"-",TEXT(D7,"MM/DD/YYYY")))</f>
        <v>02/15/2020-04/15/2020</v>
      </c>
      <c r="H7" s="4">
        <f>D7</f>
        <v>43936</v>
      </c>
      <c r="I7" s="4"/>
      <c r="J7" s="6"/>
      <c r="K7" s="6"/>
    </row>
    <row r="8" spans="1:12" x14ac:dyDescent="0.25">
      <c r="A8">
        <v>6.1</v>
      </c>
      <c r="B8" s="7" t="s">
        <v>14</v>
      </c>
      <c r="C8" s="4"/>
      <c r="D8" s="4"/>
      <c r="E8" s="5" t="str">
        <f t="shared" ref="E8:E19" si="3">IF(OR(C8=0,D8=0),"-",D8-C8+1)</f>
        <v>-</v>
      </c>
      <c r="F8" s="5" t="str">
        <f t="shared" si="1"/>
        <v xml:space="preserve"> - </v>
      </c>
      <c r="G8" s="6" t="str">
        <f t="shared" si="2"/>
        <v/>
      </c>
      <c r="H8" s="6"/>
      <c r="I8" s="6"/>
      <c r="J8" s="6"/>
      <c r="K8" s="6"/>
    </row>
    <row r="9" spans="1:12" x14ac:dyDescent="0.25">
      <c r="A9">
        <v>6.2</v>
      </c>
      <c r="B9" s="7" t="s">
        <v>15</v>
      </c>
      <c r="C9" s="4">
        <v>43922</v>
      </c>
      <c r="D9" s="4">
        <f>D7</f>
        <v>43936</v>
      </c>
      <c r="E9" s="5">
        <f t="shared" si="3"/>
        <v>15</v>
      </c>
      <c r="F9" s="5">
        <f t="shared" si="1"/>
        <v>11</v>
      </c>
      <c r="G9" s="6" t="str">
        <f t="shared" si="2"/>
        <v>04/01/2020-04/15/2020</v>
      </c>
      <c r="H9" s="4">
        <f>D9</f>
        <v>43936</v>
      </c>
      <c r="I9" s="6"/>
      <c r="J9" s="6"/>
      <c r="K9" s="6"/>
    </row>
    <row r="10" spans="1:12" x14ac:dyDescent="0.25">
      <c r="A10">
        <v>7</v>
      </c>
      <c r="B10" s="3" t="s">
        <v>16</v>
      </c>
      <c r="C10" s="4">
        <f>WORKDAY(D7,1)</f>
        <v>43937</v>
      </c>
      <c r="D10" s="4">
        <f>C10+59</f>
        <v>43996</v>
      </c>
      <c r="E10" s="5">
        <f t="shared" si="3"/>
        <v>60</v>
      </c>
      <c r="F10" s="5">
        <f t="shared" si="1"/>
        <v>42</v>
      </c>
      <c r="G10" s="6" t="str">
        <f t="shared" si="2"/>
        <v>04/16/2020-06/14/2020</v>
      </c>
      <c r="H10" s="8"/>
      <c r="I10" s="8"/>
      <c r="J10" s="6"/>
      <c r="K10" s="6"/>
    </row>
    <row r="11" spans="1:12" x14ac:dyDescent="0.25">
      <c r="A11">
        <v>8</v>
      </c>
      <c r="B11" s="3" t="s">
        <v>17</v>
      </c>
      <c r="C11" s="4">
        <f>WORKDAY(D10,1)</f>
        <v>43997</v>
      </c>
      <c r="D11" s="4">
        <f>C11+20</f>
        <v>44017</v>
      </c>
      <c r="E11" s="5">
        <f t="shared" si="3"/>
        <v>21</v>
      </c>
      <c r="F11" s="5">
        <f t="shared" si="1"/>
        <v>15</v>
      </c>
      <c r="G11" s="6" t="str">
        <f t="shared" si="2"/>
        <v>06/15/2020-07/05/2020</v>
      </c>
      <c r="H11" s="8"/>
      <c r="I11" s="8"/>
      <c r="J11" s="6"/>
      <c r="K11" s="6"/>
    </row>
    <row r="12" spans="1:12" x14ac:dyDescent="0.25">
      <c r="A12">
        <v>9</v>
      </c>
      <c r="B12" s="3" t="s">
        <v>18</v>
      </c>
      <c r="C12" s="4">
        <f t="shared" ref="C12:C17" si="4">WORKDAY(D11,1)</f>
        <v>44018</v>
      </c>
      <c r="D12" s="4">
        <f>C12+14</f>
        <v>44032</v>
      </c>
      <c r="E12" s="5">
        <f t="shared" si="3"/>
        <v>15</v>
      </c>
      <c r="F12" s="5">
        <f t="shared" si="1"/>
        <v>11</v>
      </c>
      <c r="G12" s="6" t="str">
        <f t="shared" si="2"/>
        <v>07/06/2020-07/20/2020</v>
      </c>
      <c r="H12" s="8"/>
      <c r="I12" s="8"/>
      <c r="J12" s="6"/>
      <c r="K12" s="6"/>
    </row>
    <row r="13" spans="1:12" x14ac:dyDescent="0.25">
      <c r="A13">
        <v>10</v>
      </c>
      <c r="B13" s="3" t="s">
        <v>19</v>
      </c>
      <c r="C13" s="4">
        <f t="shared" si="4"/>
        <v>44033</v>
      </c>
      <c r="D13" s="4">
        <f>C13+89</f>
        <v>44122</v>
      </c>
      <c r="E13" s="5">
        <f t="shared" si="3"/>
        <v>90</v>
      </c>
      <c r="F13" s="5">
        <f t="shared" si="1"/>
        <v>64</v>
      </c>
      <c r="G13" s="6" t="str">
        <f t="shared" si="2"/>
        <v>07/21/2020-10/18/2020</v>
      </c>
      <c r="H13" s="6"/>
      <c r="I13" s="6"/>
      <c r="J13" s="6"/>
      <c r="K13" s="6"/>
    </row>
    <row r="14" spans="1:12" x14ac:dyDescent="0.25">
      <c r="A14">
        <v>11</v>
      </c>
      <c r="B14" s="3" t="s">
        <v>20</v>
      </c>
      <c r="C14" s="4">
        <f t="shared" si="4"/>
        <v>44123</v>
      </c>
      <c r="D14" s="4">
        <f>C14+89</f>
        <v>44212</v>
      </c>
      <c r="E14" s="5">
        <f t="shared" si="3"/>
        <v>90</v>
      </c>
      <c r="F14" s="5">
        <f t="shared" si="1"/>
        <v>65</v>
      </c>
      <c r="G14" s="6" t="str">
        <f t="shared" si="2"/>
        <v>10/19/2020-01/16/2021</v>
      </c>
      <c r="H14" s="6"/>
      <c r="I14" s="6"/>
      <c r="J14" s="6"/>
      <c r="K14" s="6"/>
    </row>
    <row r="15" spans="1:12" x14ac:dyDescent="0.25">
      <c r="A15">
        <v>12</v>
      </c>
      <c r="B15" s="3" t="s">
        <v>21</v>
      </c>
      <c r="C15" s="4">
        <f t="shared" si="4"/>
        <v>44214</v>
      </c>
      <c r="D15" s="4">
        <f>C15</f>
        <v>44214</v>
      </c>
      <c r="E15" s="5">
        <f t="shared" si="3"/>
        <v>1</v>
      </c>
      <c r="F15" s="5">
        <f t="shared" si="1"/>
        <v>1</v>
      </c>
      <c r="G15" s="6" t="str">
        <f t="shared" si="2"/>
        <v>01/18/2021-01/18/2021</v>
      </c>
      <c r="H15" s="4">
        <f>C15</f>
        <v>44214</v>
      </c>
      <c r="I15" s="4"/>
      <c r="J15" s="6"/>
      <c r="K15" s="6"/>
    </row>
    <row r="16" spans="1:12" x14ac:dyDescent="0.25">
      <c r="A16">
        <v>13</v>
      </c>
      <c r="B16" s="3" t="s">
        <v>22</v>
      </c>
      <c r="C16" s="4">
        <f t="shared" si="4"/>
        <v>44215</v>
      </c>
      <c r="D16" s="4">
        <f>C16+59</f>
        <v>44274</v>
      </c>
      <c r="E16" s="5">
        <f t="shared" si="3"/>
        <v>60</v>
      </c>
      <c r="F16" s="5">
        <f t="shared" si="1"/>
        <v>44</v>
      </c>
      <c r="G16" s="6" t="str">
        <f t="shared" si="2"/>
        <v>01/19/2021-03/19/2021</v>
      </c>
      <c r="H16" s="6"/>
      <c r="I16" s="6"/>
      <c r="J16" s="6"/>
      <c r="K16" s="6"/>
    </row>
    <row r="17" spans="1:12" x14ac:dyDescent="0.25">
      <c r="A17">
        <v>14</v>
      </c>
      <c r="B17" s="3" t="s">
        <v>23</v>
      </c>
      <c r="C17" s="4">
        <f t="shared" si="4"/>
        <v>44277</v>
      </c>
      <c r="D17" s="4">
        <f>C17+89</f>
        <v>44366</v>
      </c>
      <c r="E17" s="5">
        <f t="shared" si="3"/>
        <v>90</v>
      </c>
      <c r="F17" s="5">
        <f t="shared" si="1"/>
        <v>65</v>
      </c>
      <c r="G17" s="6" t="str">
        <f t="shared" si="2"/>
        <v>03/22/2021-06/19/2021</v>
      </c>
      <c r="H17" s="6"/>
      <c r="I17" s="6"/>
      <c r="J17" s="6"/>
      <c r="K17" s="6"/>
    </row>
    <row r="18" spans="1:12" x14ac:dyDescent="0.25">
      <c r="A18">
        <v>15</v>
      </c>
      <c r="B18" s="3" t="s">
        <v>24</v>
      </c>
      <c r="C18" s="4">
        <f>WORKDAY(D17,1)</f>
        <v>44368</v>
      </c>
      <c r="D18" s="4">
        <f>C18+59</f>
        <v>44427</v>
      </c>
      <c r="E18" s="5">
        <f t="shared" si="3"/>
        <v>60</v>
      </c>
      <c r="F18" s="5">
        <f t="shared" si="1"/>
        <v>44</v>
      </c>
      <c r="G18" s="6" t="str">
        <f t="shared" si="2"/>
        <v>06/21/2021-08/19/2021</v>
      </c>
      <c r="H18" s="6"/>
      <c r="I18" s="6"/>
      <c r="J18" s="6"/>
      <c r="K18" s="6"/>
    </row>
    <row r="19" spans="1:12" x14ac:dyDescent="0.25">
      <c r="A19">
        <v>16</v>
      </c>
      <c r="B19" s="3" t="s">
        <v>25</v>
      </c>
      <c r="C19" s="4">
        <f>WORKDAY(D18,1)</f>
        <v>44428</v>
      </c>
      <c r="D19" s="4">
        <f>C19</f>
        <v>44428</v>
      </c>
      <c r="E19" s="5">
        <f t="shared" si="3"/>
        <v>1</v>
      </c>
      <c r="F19" s="5">
        <f t="shared" si="1"/>
        <v>1</v>
      </c>
      <c r="G19" s="6" t="str">
        <f t="shared" si="2"/>
        <v>08/20/2021-08/20/2021</v>
      </c>
      <c r="H19" s="4">
        <f>C19</f>
        <v>44428</v>
      </c>
      <c r="I19" s="4"/>
      <c r="J19" s="6"/>
      <c r="K19" s="6"/>
    </row>
    <row r="20" spans="1:12" x14ac:dyDescent="0.25">
      <c r="A20">
        <v>17</v>
      </c>
      <c r="B20" s="3" t="s">
        <v>32</v>
      </c>
      <c r="C20" s="11">
        <f>GetDependencyDate(L20)</f>
        <v>44215</v>
      </c>
      <c r="L20" t="s">
        <v>34</v>
      </c>
    </row>
    <row r="21" spans="1:12" x14ac:dyDescent="0.25">
      <c r="A21">
        <v>18</v>
      </c>
      <c r="B21" s="3" t="s">
        <v>33</v>
      </c>
      <c r="C21" s="11"/>
    </row>
    <row r="22" spans="1:12" x14ac:dyDescent="0.25">
      <c r="C22" s="11"/>
      <c r="J22" s="12"/>
    </row>
    <row r="23" spans="1:12" x14ac:dyDescent="0.25">
      <c r="A23">
        <v>23</v>
      </c>
      <c r="B23">
        <f>GetDependencyDate(L20)</f>
        <v>44215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D36EA22E5FFB4B833C70FC8AFA7F0C" ma:contentTypeVersion="10" ma:contentTypeDescription="Create a new document." ma:contentTypeScope="" ma:versionID="0037f23ff90e610d1ceecaa7a06f40c5">
  <xsd:schema xmlns:xsd="http://www.w3.org/2001/XMLSchema" xmlns:xs="http://www.w3.org/2001/XMLSchema" xmlns:p="http://schemas.microsoft.com/office/2006/metadata/properties" xmlns:ns3="3224fad9-a4e5-4c6f-8ac4-9032fdc6c249" targetNamespace="http://schemas.microsoft.com/office/2006/metadata/properties" ma:root="true" ma:fieldsID="e871ea3d58a99362bb512863b61a9cac" ns3:_="">
    <xsd:import namespace="3224fad9-a4e5-4c6f-8ac4-9032fdc6c24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24fad9-a4e5-4c6f-8ac4-9032fdc6c2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6183DB6-D66A-4875-B448-6ED2BA16116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620567-C6AA-4484-8BE6-E203343053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24fad9-a4e5-4c6f-8ac4-9032fdc6c2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F47A938-A2DA-4970-AF66-7B41FDDD1D62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3224fad9-a4e5-4c6f-8ac4-9032fdc6c249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Pongsiri</dc:creator>
  <cp:lastModifiedBy>DJ Computer</cp:lastModifiedBy>
  <cp:revision/>
  <dcterms:created xsi:type="dcterms:W3CDTF">2020-01-06T18:00:26Z</dcterms:created>
  <dcterms:modified xsi:type="dcterms:W3CDTF">2020-01-29T17:42:42Z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0x01010059D36EA22E5FFB4B833C70FC8AFA7F0C</vt:lpwstr>
  </property>
</Properties>
</file>